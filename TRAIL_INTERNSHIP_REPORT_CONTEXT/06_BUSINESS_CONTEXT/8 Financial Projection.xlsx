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Year P&amp;L" sheetId="1" state="visible" r:id="rId1"/>
    <sheet xmlns:r="http://schemas.openxmlformats.org/officeDocument/2006/relationships" name="Setup &amp; Assets" sheetId="2" state="visible" r:id="rId2"/>
    <sheet xmlns:r="http://schemas.openxmlformats.org/officeDocument/2006/relationships" name="Metrics &amp; Funding" sheetId="3" state="visible" r:id="rId3"/>
    <sheet xmlns:r="http://schemas.openxmlformats.org/officeDocument/2006/relationships" name="Assumptions &amp; Checks" sheetId="4" state="visible" r:id="rId4"/>
  </sheets>
  <definedNames>
    <definedName name="_xlnm._FilterDatabase" localSheetId="0" hidden="1">'3-Year P&amp;L'!$A$3:$D$30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;[Red](₹#,##0);-"/>
    <numFmt numFmtId="165" formatCode="0.0%"/>
    <numFmt numFmtId="166" formatCode="&quot;$&quot;#,##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5C6873"/>
    </font>
    <font>
      <b val="1"/>
      <color rgb="00FFFFFF"/>
    </font>
    <font>
      <b val="1"/>
      <color rgb="0018324B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8324B"/>
      </patternFill>
    </fill>
    <fill>
      <patternFill patternType="solid">
        <fgColor rgb="002B7A78"/>
      </patternFill>
    </fill>
    <fill>
      <patternFill patternType="solid">
        <fgColor rgb="00F3EFE7"/>
      </patternFill>
    </fill>
  </fills>
  <borders count="3">
    <border>
      <left/>
      <right/>
      <top/>
      <bottom/>
      <diagonal/>
    </border>
    <border>
      <bottom style="thin">
        <color rgb="00D8E0E4"/>
      </bottom>
    </border>
    <border>
      <left/>
      <right/>
      <top/>
      <bottom style="thin">
        <color rgb="00D8E0E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wrapText="1"/>
    </xf>
    <xf numFmtId="0" fontId="4" fillId="4" borderId="1" applyAlignment="1" pivotButton="0" quotePrefix="0" xfId="0">
      <alignment vertical="top" wrapText="1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3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4" fontId="0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TRAIL — 3-Year Financial Projection (Baseline Scenario)</t>
        </is>
      </c>
      <c r="B1" s="17" t="n"/>
      <c r="C1" s="17" t="n"/>
      <c r="D1" s="17" t="n"/>
    </row>
    <row r="2">
      <c r="A2" s="3" t="inlineStr">
        <is>
          <t>Member 4 | Figures in INR | Forecasts, not actual results</t>
        </is>
      </c>
      <c r="B2" s="17" t="n"/>
      <c r="C2" s="17" t="n"/>
      <c r="D2" s="17" t="n"/>
    </row>
    <row r="3">
      <c r="A3" s="4" t="inlineStr">
        <is>
          <t>Particulars</t>
        </is>
      </c>
      <c r="B3" s="5" t="inlineStr">
        <is>
          <t>Year 1 (₹)</t>
        </is>
      </c>
      <c r="C3" s="5" t="inlineStr">
        <is>
          <t>Year 2 (₹)</t>
        </is>
      </c>
      <c r="D3" s="5" t="inlineStr">
        <is>
          <t>Year 3 (₹)</t>
        </is>
      </c>
    </row>
    <row r="4">
      <c r="A4" s="6" t="inlineStr">
        <is>
          <t>REVENUE</t>
        </is>
      </c>
      <c r="B4" s="7" t="n"/>
      <c r="C4" s="7" t="n"/>
      <c r="D4" s="7" t="n"/>
    </row>
    <row r="5">
      <c r="A5" s="8" t="inlineStr">
        <is>
          <t>B2C: Single Field Passes</t>
        </is>
      </c>
      <c r="B5" s="9" t="n">
        <v>1074600</v>
      </c>
      <c r="C5" s="9" t="n">
        <v>5572000</v>
      </c>
      <c r="D5" s="9" t="n">
        <v>22885000</v>
      </c>
    </row>
    <row r="6">
      <c r="A6" s="8" t="inlineStr">
        <is>
          <t>B2C: Annual Field Club</t>
        </is>
      </c>
      <c r="B6" s="9" t="n">
        <v>1439280</v>
      </c>
      <c r="C6" s="9" t="n">
        <v>6796600</v>
      </c>
      <c r="D6" s="9" t="n">
        <v>27586200</v>
      </c>
    </row>
    <row r="7">
      <c r="A7" s="8" t="inlineStr">
        <is>
          <t>B2B: Merchant Subscriptions</t>
        </is>
      </c>
      <c r="B7" s="9" t="n">
        <v>503664</v>
      </c>
      <c r="C7" s="9" t="n">
        <v>1978680</v>
      </c>
      <c r="D7" s="9" t="n">
        <v>8094600</v>
      </c>
    </row>
    <row r="8">
      <c r="A8" s="8" t="inlineStr">
        <is>
          <t>B2B: Tourism / Hotel Licensing</t>
        </is>
      </c>
      <c r="B8" s="9" t="n">
        <v>450000</v>
      </c>
      <c r="C8" s="9" t="n">
        <v>1350000</v>
      </c>
      <c r="D8" s="9" t="n">
        <v>5400000</v>
      </c>
    </row>
    <row r="9">
      <c r="A9" s="6" t="inlineStr">
        <is>
          <t>TOTAL GROSS REVENUE</t>
        </is>
      </c>
      <c r="B9" s="10">
        <f>SUM(B5:B8)</f>
        <v/>
      </c>
      <c r="C9" s="10">
        <f>SUM(C5:C8)</f>
        <v/>
      </c>
      <c r="D9" s="10">
        <f>SUM(D5:D8)</f>
        <v/>
      </c>
    </row>
    <row r="10">
      <c r="A10" s="8" t="inlineStr"/>
      <c r="B10" s="2" t="inlineStr"/>
      <c r="C10" s="2" t="inlineStr"/>
      <c r="D10" s="2" t="inlineStr"/>
    </row>
    <row r="11">
      <c r="A11" s="6" t="inlineStr">
        <is>
          <t>COST OF GOODS / SERVICE (COGS)</t>
        </is>
      </c>
      <c r="B11" s="7" t="n"/>
      <c r="C11" s="7" t="n"/>
      <c r="D11" s="7" t="n"/>
    </row>
    <row r="12">
      <c r="A12" s="8" t="inlineStr">
        <is>
          <t>Payment Gateway Fees (2.5% of revenue)</t>
        </is>
      </c>
      <c r="B12" s="11" t="n">
        <v>86688</v>
      </c>
      <c r="C12" s="11" t="n">
        <v>392432</v>
      </c>
      <c r="D12" s="11" t="n">
        <v>1599145</v>
      </c>
    </row>
    <row r="13">
      <c r="A13" s="8" t="inlineStr">
        <is>
          <t>Gemini API Costs</t>
        </is>
      </c>
      <c r="B13" s="9" t="n">
        <v>50000</v>
      </c>
      <c r="C13" s="9" t="n">
        <v>200000</v>
      </c>
      <c r="D13" s="9" t="n">
        <v>600000</v>
      </c>
    </row>
    <row r="14">
      <c r="A14" s="8" t="inlineStr">
        <is>
          <t>Cloud Hosting — Vercel + Supabase + Cloudflare</t>
        </is>
      </c>
      <c r="B14" s="9" t="n">
        <v>36000</v>
      </c>
      <c r="C14" s="9" t="n">
        <v>120000</v>
      </c>
      <c r="D14" s="9" t="n">
        <v>360000</v>
      </c>
    </row>
    <row r="15">
      <c r="A15" s="8" t="inlineStr">
        <is>
          <t>Physical Plaque Production &amp; Installation</t>
        </is>
      </c>
      <c r="B15" s="9" t="n">
        <v>16800</v>
      </c>
      <c r="C15" s="9" t="n">
        <v>66000</v>
      </c>
      <c r="D15" s="9" t="n">
        <v>270000</v>
      </c>
    </row>
    <row r="16">
      <c r="A16" s="6" t="inlineStr">
        <is>
          <t>TOTAL COGS</t>
        </is>
      </c>
      <c r="B16" s="10">
        <f>SUM(B12:B15)</f>
        <v/>
      </c>
      <c r="C16" s="10">
        <f>SUM(C12:C15)</f>
        <v/>
      </c>
      <c r="D16" s="10">
        <f>SUM(D12:D15)</f>
        <v/>
      </c>
    </row>
    <row r="17">
      <c r="A17" s="6" t="inlineStr">
        <is>
          <t>GROSS PROFIT</t>
        </is>
      </c>
      <c r="B17" s="10">
        <f>B9-B16</f>
        <v/>
      </c>
      <c r="C17" s="10">
        <f>C9-C16</f>
        <v/>
      </c>
      <c r="D17" s="10">
        <f>D9-D16</f>
        <v/>
      </c>
    </row>
    <row r="18">
      <c r="A18" s="8" t="inlineStr">
        <is>
          <t>Gross Margin %</t>
        </is>
      </c>
      <c r="B18" s="11">
        <f>B17/B9</f>
        <v/>
      </c>
      <c r="C18" s="11">
        <f>C17/C9</f>
        <v/>
      </c>
      <c r="D18" s="11">
        <f>D17/D9</f>
        <v/>
      </c>
    </row>
    <row r="19">
      <c r="A19" s="8" t="inlineStr"/>
      <c r="B19" s="2" t="inlineStr"/>
      <c r="C19" s="2" t="inlineStr"/>
      <c r="D19" s="2" t="inlineStr"/>
    </row>
    <row r="20">
      <c r="A20" s="8" t="inlineStr">
        <is>
          <t>OPERATING EXPENSES (OpEx)</t>
        </is>
      </c>
      <c r="B20" s="2" t="n"/>
      <c r="C20" s="2" t="n"/>
      <c r="D20" s="2" t="n"/>
    </row>
    <row r="21">
      <c r="A21" s="8" t="inlineStr">
        <is>
          <t>Salaries (Founder stipends + 1 PT dev contractor)</t>
        </is>
      </c>
      <c r="B21" s="9" t="n">
        <v>1200000</v>
      </c>
      <c r="C21" s="9" t="n">
        <v>3600000</v>
      </c>
      <c r="D21" s="9" t="n">
        <v>8400000</v>
      </c>
    </row>
    <row r="22">
      <c r="A22" s="8" t="inlineStr">
        <is>
          <t>Marketing (events, concierge collateral, social)</t>
        </is>
      </c>
      <c r="B22" s="9" t="n">
        <v>400000</v>
      </c>
      <c r="C22" s="9" t="n">
        <v>1200000</v>
      </c>
      <c r="D22" s="9" t="n">
        <v>3000000</v>
      </c>
    </row>
    <row r="23">
      <c r="A23" s="8" t="inlineStr">
        <is>
          <t>Technology / Cloud / Dev Tools</t>
        </is>
      </c>
      <c r="B23" s="9" t="n">
        <v>120000</v>
      </c>
      <c r="C23" s="9" t="n">
        <v>240000</v>
      </c>
      <c r="D23" s="9" t="n">
        <v>480000</v>
      </c>
    </row>
    <row r="24">
      <c r="A24" s="8" t="inlineStr">
        <is>
          <t>Field Scouting &amp; Editorial Curation</t>
        </is>
      </c>
      <c r="B24" s="9" t="n">
        <v>180000</v>
      </c>
      <c r="C24" s="9" t="n">
        <v>600000</v>
      </c>
      <c r="D24" s="9" t="n">
        <v>1800000</v>
      </c>
    </row>
    <row r="25">
      <c r="A25" s="8" t="inlineStr">
        <is>
          <t>Rent / Co-working Space</t>
        </is>
      </c>
      <c r="B25" s="9" t="n">
        <v>120000</v>
      </c>
      <c r="C25" s="9" t="n">
        <v>240000</v>
      </c>
      <c r="D25" s="9" t="n">
        <v>600000</v>
      </c>
    </row>
    <row r="26">
      <c r="A26" s="8" t="inlineStr">
        <is>
          <t>Accounting, Legal, GST Compliance</t>
        </is>
      </c>
      <c r="B26" s="9" t="n">
        <v>60000</v>
      </c>
      <c r="C26" s="9" t="n">
        <v>90000</v>
      </c>
      <c r="D26" s="9" t="n">
        <v>150000</v>
      </c>
    </row>
    <row r="27">
      <c r="A27" s="8" t="inlineStr">
        <is>
          <t>Miscellaneous / Contingency</t>
        </is>
      </c>
      <c r="B27" s="9" t="n">
        <v>104000</v>
      </c>
      <c r="C27" s="9" t="n">
        <v>298500</v>
      </c>
      <c r="D27" s="9" t="n">
        <v>721500</v>
      </c>
    </row>
    <row r="28">
      <c r="A28" s="6" t="inlineStr">
        <is>
          <t>TOTAL OPERATING EXPENSES</t>
        </is>
      </c>
      <c r="B28" s="10">
        <f>SUM(B21:B27)</f>
        <v/>
      </c>
      <c r="C28" s="10">
        <f>SUM(C21:C27)</f>
        <v/>
      </c>
      <c r="D28" s="10">
        <f>SUM(D21:D27)</f>
        <v/>
      </c>
    </row>
    <row r="29">
      <c r="A29" s="6" t="inlineStr">
        <is>
          <t>NET PROFIT / (LOSS)</t>
        </is>
      </c>
      <c r="B29" s="10">
        <f>B17-B28</f>
        <v/>
      </c>
      <c r="C29" s="10">
        <f>C17-C28</f>
        <v/>
      </c>
      <c r="D29" s="10">
        <f>D17-D28</f>
        <v/>
      </c>
    </row>
    <row r="30">
      <c r="A30" s="8" t="inlineStr">
        <is>
          <t>Net Margin %</t>
        </is>
      </c>
      <c r="B30" s="11">
        <f>B29/B9</f>
        <v/>
      </c>
      <c r="C30" s="11">
        <f>C29/C9</f>
        <v/>
      </c>
      <c r="D30" s="11">
        <f>D29/D9</f>
        <v/>
      </c>
    </row>
  </sheetData>
  <autoFilter ref="A3:D30"/>
  <mergeCells count="2">
    <mergeCell ref="A1:D1"/>
    <mergeCell ref="A2:D2"/>
  </mergeCells>
  <pageMargins left="0.25" right="0.2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42" customWidth="1" min="4" max="4"/>
  </cols>
  <sheetData>
    <row r="1">
      <c r="A1" s="12" t="inlineStr">
        <is>
          <t>Initial Setup Costs — One-Time CapEx</t>
        </is>
      </c>
      <c r="B1" s="17" t="n"/>
      <c r="C1" s="17" t="n"/>
      <c r="D1" s="17" t="n"/>
    </row>
    <row r="2">
      <c r="A2" s="4" t="inlineStr">
        <is>
          <t>Cost Item</t>
        </is>
      </c>
      <c r="B2" s="4" t="inlineStr">
        <is>
          <t>Amount (₹)</t>
        </is>
      </c>
      <c r="C2" s="4" t="inlineStr">
        <is>
          <t>Amount ($)</t>
        </is>
      </c>
      <c r="D2" s="4" t="inlineStr">
        <is>
          <t>Notes</t>
        </is>
      </c>
    </row>
    <row r="3">
      <c r="A3" s="8" t="inlineStr">
        <is>
          <t>Company Registration (Pvt Ltd, India)</t>
        </is>
      </c>
      <c r="B3" s="13" t="n">
        <v>15000</v>
      </c>
      <c r="C3" s="14" t="n">
        <v>180</v>
      </c>
      <c r="D3" s="8" t="inlineStr">
        <is>
          <t>MCA portal + legal filing</t>
        </is>
      </c>
    </row>
    <row r="4">
      <c r="A4" s="8" t="inlineStr">
        <is>
          <t>Brand Identity (Logo, Tokens, Design System)</t>
        </is>
      </c>
      <c r="B4" s="13" t="n">
        <v>25000</v>
      </c>
      <c r="C4" s="14" t="n">
        <v>300</v>
      </c>
      <c r="D4" s="8" t="inlineStr">
        <is>
          <t>Already built per source</t>
        </is>
      </c>
    </row>
    <row r="5">
      <c r="A5" s="8" t="inlineStr">
        <is>
          <t>Domain &amp; SSL Certificate (3 years)</t>
        </is>
      </c>
      <c r="B5" s="13" t="n">
        <v>5000</v>
      </c>
      <c r="C5" s="14" t="n">
        <v>60</v>
      </c>
      <c r="D5" s="8" t="inlineStr">
        <is>
          <t>trail.app or equivalent</t>
        </is>
      </c>
    </row>
    <row r="6">
      <c r="A6" s="8" t="inlineStr">
        <is>
          <t>Developer Laptops / Equipment (2 units)</t>
        </is>
      </c>
      <c r="B6" s="13" t="n">
        <v>120000</v>
      </c>
      <c r="C6" s="14" t="n">
        <v>1445</v>
      </c>
      <c r="D6" s="8" t="inlineStr">
        <is>
          <t>Shared across team</t>
        </is>
      </c>
    </row>
    <row r="7">
      <c r="A7" s="8" t="inlineStr">
        <is>
          <t>Initial Cloud Infrastructure Setup</t>
        </is>
      </c>
      <c r="B7" s="13" t="n">
        <v>8000</v>
      </c>
      <c r="C7" s="14" t="n">
        <v>96</v>
      </c>
      <c r="D7" s="8" t="inlineStr">
        <is>
          <t>Vercel + Supabase</t>
        </is>
      </c>
    </row>
    <row r="8">
      <c r="A8" s="8" t="inlineStr">
        <is>
          <t>Gemini API Initial Credit</t>
        </is>
      </c>
      <c r="B8" s="13" t="n">
        <v>8300</v>
      </c>
      <c r="C8" s="14" t="n">
        <v>100</v>
      </c>
      <c r="D8" s="8" t="inlineStr">
        <is>
          <t>Testing &amp; pre-launch</t>
        </is>
      </c>
    </row>
    <row r="9">
      <c r="A9" s="8" t="inlineStr">
        <is>
          <t>Legal + Trademark Registration</t>
        </is>
      </c>
      <c r="B9" s="13" t="n">
        <v>30000</v>
      </c>
      <c r="C9" s="14" t="n">
        <v>361</v>
      </c>
      <c r="D9" s="8" t="inlineStr">
        <is>
          <t>IP protection</t>
        </is>
      </c>
    </row>
    <row r="10">
      <c r="A10" s="8" t="inlineStr">
        <is>
          <t>Accounting Software (1 year)</t>
        </is>
      </c>
      <c r="B10" s="13" t="n">
        <v>6000</v>
      </c>
      <c r="C10" s="14" t="n">
        <v>72</v>
      </c>
      <c r="D10" s="8" t="inlineStr">
        <is>
          <t>Zoho Books</t>
        </is>
      </c>
    </row>
    <row r="11">
      <c r="A11" s="8" t="inlineStr">
        <is>
          <t>Physical Waypoint Plaque Fabrication (Batch 1 — 30 units)</t>
        </is>
      </c>
      <c r="B11" s="13" t="n">
        <v>18000</v>
      </c>
      <c r="C11" s="14" t="n">
        <v>217</v>
      </c>
      <c r="D11" s="8" t="inlineStr">
        <is>
          <t>Source uses ₹600/unit here</t>
        </is>
      </c>
    </row>
    <row r="12">
      <c r="A12" s="8" t="inlineStr">
        <is>
          <t>Pre-Launch Marketing &amp; Community Event</t>
        </is>
      </c>
      <c r="B12" s="13" t="n">
        <v>25000</v>
      </c>
      <c r="C12" s="14" t="n">
        <v>301</v>
      </c>
      <c r="D12" s="8" t="inlineStr">
        <is>
          <t>Fontainhas launch salon</t>
        </is>
      </c>
    </row>
    <row r="13">
      <c r="A13" s="8" t="inlineStr">
        <is>
          <t>GST Registration &amp; Initial CA Fees</t>
        </is>
      </c>
      <c r="B13" s="13" t="n">
        <v>10000</v>
      </c>
      <c r="C13" s="14" t="n">
        <v>120</v>
      </c>
      <c r="D13" s="8" t="inlineStr">
        <is>
          <t>One-time</t>
        </is>
      </c>
    </row>
    <row r="14">
      <c r="A14" s="8" t="inlineStr">
        <is>
          <t>TOTAL INITIAL COSTS</t>
        </is>
      </c>
      <c r="B14" s="13">
        <f>SUM(B3:B13)</f>
        <v/>
      </c>
      <c r="C14" s="14">
        <f>SUM(C3:C13)</f>
        <v/>
      </c>
      <c r="D14" s="8" t="inlineStr"/>
    </row>
    <row r="15">
      <c r="A15" s="8" t="n"/>
      <c r="B15" s="8" t="n"/>
      <c r="C15" s="8" t="n"/>
      <c r="D15" s="8" t="n"/>
    </row>
    <row r="16">
      <c r="A16" s="4" t="inlineStr">
        <is>
          <t>Company Assets</t>
        </is>
      </c>
      <c r="B16" s="17" t="n"/>
      <c r="C16" s="17" t="n"/>
      <c r="D16" s="17" t="n"/>
    </row>
    <row r="17">
      <c r="A17" s="4" t="inlineStr">
        <is>
          <t>Asset</t>
        </is>
      </c>
      <c r="B17" s="4" t="inlineStr">
        <is>
          <t>Type</t>
        </is>
      </c>
      <c r="C17" s="4" t="inlineStr">
        <is>
          <t>Estimated Value (₹)</t>
        </is>
      </c>
      <c r="D17" s="4" t="inlineStr">
        <is>
          <t>Depreciation / Note</t>
        </is>
      </c>
    </row>
    <row r="18">
      <c r="A18" s="8" t="inlineStr">
        <is>
          <t>Developer laptops (×2)</t>
        </is>
      </c>
      <c r="B18" s="8" t="inlineStr">
        <is>
          <t>Tangible</t>
        </is>
      </c>
      <c r="C18" s="8" t="n">
        <v>120000</v>
      </c>
      <c r="D18" s="8" t="inlineStr">
        <is>
          <t>3-year straight-line</t>
        </is>
      </c>
    </row>
    <row r="19">
      <c r="A19" s="8" t="inlineStr">
        <is>
          <t>TRAIL codebase &amp; AI engine</t>
        </is>
      </c>
      <c r="B19" s="8" t="inlineStr">
        <is>
          <t>Intangible (IP)</t>
        </is>
      </c>
      <c r="C19" s="13" t="n">
        <v>300000</v>
      </c>
      <c r="D19" s="8" t="inlineStr">
        <is>
          <t>Internally developed value</t>
        </is>
      </c>
    </row>
    <row r="20">
      <c r="A20" s="8" t="inlineStr">
        <is>
          <t>Curated POI Dataset (21+ spots)</t>
        </is>
      </c>
      <c r="B20" s="8" t="inlineStr">
        <is>
          <t>Intangible (Data)</t>
        </is>
      </c>
      <c r="C20" s="13" t="n">
        <v>80000</v>
      </c>
      <c r="D20" s="8" t="inlineStr">
        <is>
          <t>Not depreciated; growing asset</t>
        </is>
      </c>
    </row>
    <row r="21">
      <c r="A21" s="8" t="inlineStr">
        <is>
          <t>Brand assets</t>
        </is>
      </c>
      <c r="B21" s="8" t="inlineStr">
        <is>
          <t>Intangible</t>
        </is>
      </c>
      <c r="C21" s="13" t="n">
        <v>25000</v>
      </c>
      <c r="D21" s="8" t="inlineStr">
        <is>
          <t>Perpetual</t>
        </is>
      </c>
    </row>
    <row r="22">
      <c r="A22" s="8" t="inlineStr">
        <is>
          <t>Website &amp; Domain</t>
        </is>
      </c>
      <c r="B22" s="8" t="inlineStr">
        <is>
          <t>Intangible</t>
        </is>
      </c>
      <c r="C22" s="13" t="n">
        <v>5000</v>
      </c>
      <c r="D22" s="8" t="inlineStr">
        <is>
          <t>Annual renewal</t>
        </is>
      </c>
    </row>
    <row r="23">
      <c r="A23" s="8" t="inlineStr">
        <is>
          <t>Waypoint Plaques (30 units, Batch 1)</t>
        </is>
      </c>
      <c r="B23" s="8" t="inlineStr">
        <is>
          <t>Tangible</t>
        </is>
      </c>
      <c r="C23" s="13" t="n">
        <v>18000</v>
      </c>
      <c r="D23" s="8" t="inlineStr">
        <is>
          <t>5-year lifespan</t>
        </is>
      </c>
    </row>
    <row r="24">
      <c r="A24" s="8" t="inlineStr">
        <is>
          <t>TOTAL ASSET VALUE</t>
        </is>
      </c>
      <c r="B24" s="8" t="inlineStr"/>
      <c r="C24" s="13">
        <f>SUM(C19:C24)</f>
        <v/>
      </c>
      <c r="D24" s="8" t="inlineStr"/>
    </row>
    <row r="25">
      <c r="C25" s="15" t="n"/>
    </row>
  </sheetData>
  <mergeCells count="2">
    <mergeCell ref="A1:D1"/>
    <mergeCell ref="A16:D16"/>
  </mergeCells>
  <pageMargins left="0.25" right="0.2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38" customWidth="1" min="3" max="3"/>
    <col width="58" customWidth="1" min="4" max="4"/>
  </cols>
  <sheetData>
    <row r="1">
      <c r="A1" s="16" t="inlineStr">
        <is>
          <t>Key Metrics, Break-Even &amp; Funding</t>
        </is>
      </c>
      <c r="B1" s="17" t="n"/>
      <c r="C1" s="17" t="n"/>
      <c r="D1" s="17" t="n"/>
    </row>
    <row r="2">
      <c r="A2" s="4" t="inlineStr">
        <is>
          <t>Metric</t>
        </is>
      </c>
      <c r="B2" s="4" t="inlineStr">
        <is>
          <t>Baseline</t>
        </is>
      </c>
      <c r="C2" s="4" t="inlineStr">
        <is>
          <t>Conservative / Alternative</t>
        </is>
      </c>
      <c r="D2" s="4" t="inlineStr">
        <is>
          <t>Notes</t>
        </is>
      </c>
    </row>
    <row r="3">
      <c r="A3" s="8" t="inlineStr">
        <is>
          <t>Monthly fixed costs</t>
        </is>
      </c>
      <c r="B3" s="13" t="n">
        <v>182000</v>
      </c>
      <c r="C3" s="8" t="inlineStr"/>
      <c r="D3" s="8" t="inlineStr">
        <is>
          <t>Source baseline</t>
        </is>
      </c>
    </row>
    <row r="4">
      <c r="A4" s="8" t="inlineStr">
        <is>
          <t>Break-even revenue / month</t>
        </is>
      </c>
      <c r="B4" s="13" t="n">
        <v>182000</v>
      </c>
      <c r="C4" s="8" t="n">
        <v>227500</v>
      </c>
      <c r="D4" s="8" t="inlineStr">
        <is>
          <t>Source table says ₹1,82,000 baseline and ₹2,27,500 conservative</t>
        </is>
      </c>
    </row>
    <row r="5">
      <c r="A5" s="8" t="inlineStr">
        <is>
          <t>Calculated break-even revenue / month</t>
        </is>
      </c>
      <c r="B5" s="13" t="n">
        <v>192593</v>
      </c>
      <c r="C5" s="8" t="inlineStr"/>
      <c r="D5" s="8" t="inlineStr">
        <is>
          <t>From source formula: fixed costs / contribution margin</t>
        </is>
      </c>
    </row>
    <row r="6">
      <c r="A6" s="8" t="inlineStr">
        <is>
          <t>Break-even timing</t>
        </is>
      </c>
      <c r="B6" s="8" t="inlineStr">
        <is>
          <t>Month 7</t>
        </is>
      </c>
      <c r="C6" s="8" t="inlineStr">
        <is>
          <t>Month 9 conservative; Month 5 optimistic</t>
        </is>
      </c>
      <c r="D6" s="8" t="inlineStr">
        <is>
          <t>Source estimate; validate against monthly cash-flow model</t>
        </is>
      </c>
    </row>
    <row r="7">
      <c r="A7" s="8" t="inlineStr">
        <is>
          <t>Break-even transaction volume / month</t>
        </is>
      </c>
      <c r="B7" s="8" t="n">
        <v>393</v>
      </c>
      <c r="C7" s="8" t="inlineStr"/>
      <c r="D7" s="8" t="inlineStr">
        <is>
          <t>Source calculation; blended transaction ₹490</t>
        </is>
      </c>
    </row>
    <row r="8">
      <c r="A8" s="8" t="inlineStr">
        <is>
          <t>Consumer CAC (Year 1)</t>
        </is>
      </c>
      <c r="B8" s="13" t="n">
        <v>220</v>
      </c>
      <c r="C8" s="8" t="inlineStr"/>
      <c r="D8" s="8" t="inlineStr">
        <is>
          <t>Blended channel estimate</t>
        </is>
      </c>
    </row>
    <row r="9">
      <c r="A9" s="8" t="inlineStr">
        <is>
          <t>Consumer CAC (Year 2)</t>
        </is>
      </c>
      <c r="B9" s="13" t="n">
        <v>165</v>
      </c>
      <c r="C9" s="8" t="inlineStr"/>
      <c r="D9" s="8" t="inlineStr">
        <is>
          <t>Blended channel estimate</t>
        </is>
      </c>
    </row>
    <row r="10">
      <c r="A10" s="8" t="inlineStr">
        <is>
          <t>Merchant CAC (Year 1)</t>
        </is>
      </c>
      <c r="B10" s="13" t="n">
        <v>4500</v>
      </c>
      <c r="C10" s="8" t="inlineStr"/>
      <c r="D10" s="8" t="inlineStr">
        <is>
          <t>Field sales + plaque install</t>
        </is>
      </c>
    </row>
    <row r="11">
      <c r="A11" s="8" t="inlineStr">
        <is>
          <t>Annual Club LTV</t>
        </is>
      </c>
      <c r="B11" s="13" t="n">
        <v>8329</v>
      </c>
      <c r="C11" s="8" t="inlineStr"/>
      <c r="D11" s="8" t="inlineStr">
        <is>
          <t>Source estimate</t>
        </is>
      </c>
    </row>
    <row r="12">
      <c r="A12" s="8" t="inlineStr">
        <is>
          <t>Annual Club LTV:CAC</t>
        </is>
      </c>
      <c r="B12" s="13" t="n">
        <v>37.9</v>
      </c>
      <c r="C12" s="8" t="inlineStr"/>
      <c r="D12" s="8" t="inlineStr">
        <is>
          <t>Source estimate</t>
        </is>
      </c>
    </row>
    <row r="13">
      <c r="A13" s="8" t="inlineStr">
        <is>
          <t>Merchant Partner LTV</t>
        </is>
      </c>
      <c r="B13" s="13" t="n">
        <v>399733</v>
      </c>
      <c r="C13" s="8" t="inlineStr"/>
      <c r="D13" s="8" t="inlineStr">
        <is>
          <t>Source estimate</t>
        </is>
      </c>
    </row>
    <row r="14">
      <c r="A14" s="8" t="inlineStr">
        <is>
          <t>Merchant LTV:CAC</t>
        </is>
      </c>
      <c r="B14" s="13" t="n">
        <v>88.8</v>
      </c>
      <c r="C14" s="8" t="inlineStr"/>
      <c r="D14" s="8" t="inlineStr">
        <is>
          <t>Source estimate</t>
        </is>
      </c>
    </row>
    <row r="15">
      <c r="A15" s="8" t="inlineStr">
        <is>
          <t>Year 1 average monthly burn</t>
        </is>
      </c>
      <c r="B15" s="13" t="n">
        <v>182000</v>
      </c>
      <c r="C15" s="8" t="inlineStr"/>
      <c r="D15" s="8" t="inlineStr">
        <is>
          <t>Source labels this burn; monthly revenue is ₹2,88,962</t>
        </is>
      </c>
    </row>
    <row r="16">
      <c r="A16" s="8" t="inlineStr">
        <is>
          <t>Pre-revenue monthly burn</t>
        </is>
      </c>
      <c r="B16" s="13" t="n">
        <v>22525</v>
      </c>
      <c r="C16" s="8" t="inlineStr"/>
      <c r="D16" s="8" t="inlineStr">
        <is>
          <t>Source estimate</t>
        </is>
      </c>
    </row>
    <row r="17">
      <c r="A17" s="8" t="inlineStr">
        <is>
          <t>Initial funding requirement</t>
        </is>
      </c>
      <c r="B17" s="13" t="n">
        <v>2500000</v>
      </c>
      <c r="C17" s="8" t="inlineStr"/>
      <c r="D17" s="8" t="inlineStr">
        <is>
          <t>Seed ask</t>
        </is>
      </c>
    </row>
    <row r="18">
      <c r="A18" s="8" t="inlineStr">
        <is>
          <t>Pre-revenue runway (months)</t>
        </is>
      </c>
      <c r="B18" s="13" t="n">
        <v>18</v>
      </c>
      <c r="C18" s="8" t="inlineStr"/>
      <c r="D18" s="8" t="inlineStr">
        <is>
          <t>₹25,00,000 / ₹22,525 ≈ 18 months</t>
        </is>
      </c>
    </row>
    <row r="19">
      <c r="A19" s="8" t="inlineStr">
        <is>
          <t>Practical runway</t>
        </is>
      </c>
      <c r="B19" s="8" t="inlineStr">
        <is>
          <t>24+ months</t>
        </is>
      </c>
      <c r="C19" s="8" t="inlineStr"/>
      <c r="D19" s="8" t="inlineStr">
        <is>
          <t>Source estimate; assumes revenue begins Month 3</t>
        </is>
      </c>
    </row>
  </sheetData>
  <mergeCells count="1">
    <mergeCell ref="A1:D1"/>
  </mergeCells>
  <pageMargins left="0.25" right="0.2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8" customWidth="1" min="3" max="3"/>
  </cols>
  <sheetData>
    <row r="1">
      <c r="A1" s="16" t="inlineStr">
        <is>
          <t>Assumptions, Source Notes &amp; Reconciliation Checks</t>
        </is>
      </c>
      <c r="B1" s="17" t="n"/>
      <c r="C1" s="17" t="n"/>
    </row>
    <row r="2">
      <c r="A2" s="4" t="inlineStr">
        <is>
          <t>Item</t>
        </is>
      </c>
      <c r="B2" s="4" t="inlineStr">
        <is>
          <t>Classification / Value</t>
        </is>
      </c>
      <c r="C2" s="4" t="inlineStr">
        <is>
          <t>Note</t>
        </is>
      </c>
    </row>
    <row r="3">
      <c r="A3" s="8" t="inlineStr">
        <is>
          <t>Visitor-to-account conversion</t>
        </is>
      </c>
      <c r="B3" s="8" t="inlineStr">
        <is>
          <t>ASSUMPTION: 12%</t>
        </is>
      </c>
      <c r="C3" s="8" t="inlineStr">
        <is>
          <t>Comparable travel PWA benchmarks; not measured for TRAIL</t>
        </is>
      </c>
    </row>
    <row r="4">
      <c r="A4" s="8" t="inlineStr">
        <is>
          <t>Free-to-annual conversion</t>
        </is>
      </c>
      <c r="B4" s="8" t="inlineStr">
        <is>
          <t>Benchmark: 3.8%</t>
        </is>
      </c>
      <c r="C4" s="8" t="inlineStr">
        <is>
          <t>Source cites AllTrails 3.5% and Strava 4.0%</t>
        </is>
      </c>
    </row>
    <row r="5">
      <c r="A5" s="8" t="inlineStr">
        <is>
          <t>Annual Club renewal retention</t>
        </is>
      </c>
      <c r="B5" s="8" t="inlineStr">
        <is>
          <t>Benchmark: 76%</t>
        </is>
      </c>
      <c r="C5" s="8" t="inlineStr">
        <is>
          <t>Source estimate</t>
        </is>
      </c>
    </row>
    <row r="6">
      <c r="A6" s="8" t="inlineStr">
        <is>
          <t>Merchant monthly churn</t>
        </is>
      </c>
      <c r="B6" s="8" t="inlineStr">
        <is>
          <t>ASSUMPTION: 4.5%</t>
        </is>
      </c>
      <c r="C6" s="8" t="inlineStr">
        <is>
          <t>Physical plaque stickiness rationale</t>
        </is>
      </c>
    </row>
    <row r="7">
      <c r="A7" s="8" t="inlineStr">
        <is>
          <t>Goa tourist arrivals</t>
        </is>
      </c>
      <c r="B7" s="8" t="inlineStr">
        <is>
          <t>Source-stated fact: 10.41M in 2024</t>
        </is>
      </c>
      <c r="C7" s="8" t="inlineStr">
        <is>
          <t>Cited in source as Goa Tourism Department</t>
        </is>
      </c>
    </row>
    <row r="8">
      <c r="A8" s="8" t="inlineStr">
        <is>
          <t>Gemini API cost</t>
        </is>
      </c>
      <c r="B8" s="8" t="inlineStr">
        <is>
          <t>Source-stated benchmark</t>
        </is>
      </c>
      <c r="C8" s="8" t="inlineStr">
        <is>
          <t>Check current provider pricing before deployment</t>
        </is>
      </c>
    </row>
    <row r="9">
      <c r="A9" s="8" t="inlineStr">
        <is>
          <t>Payment gateway blended fee</t>
        </is>
      </c>
      <c r="B9" s="8" t="inlineStr">
        <is>
          <t>Assumption/benchmark: 2.5%</t>
        </is>
      </c>
      <c r="C9" s="8" t="inlineStr">
        <is>
          <t>Source combines payment providers</t>
        </is>
      </c>
    </row>
    <row r="10">
      <c r="A10" s="8" t="inlineStr">
        <is>
          <t>Plaque cost reconciliation</t>
        </is>
      </c>
      <c r="B10" s="8" t="inlineStr">
        <is>
          <t>₹600/unit in setup-cost table; ₹450 fabrication + ₹150 shipping/mounting elsewhere</t>
        </is>
      </c>
      <c r="C10" s="8" t="inlineStr">
        <is>
          <t>Keep cost basis consistent in final submission</t>
        </is>
      </c>
    </row>
    <row r="11">
      <c r="A11" s="8" t="inlineStr">
        <is>
          <t>Funding total reconciliation</t>
        </is>
      </c>
      <c r="B11" s="8" t="inlineStr">
        <is>
          <t>Line items total ₹25,00,300; stated ask is ₹25,00,000</t>
        </is>
      </c>
      <c r="C11" s="8" t="inlineStr">
        <is>
          <t>Reduce one line by ₹300 or explain rounding</t>
        </is>
      </c>
    </row>
    <row r="12">
      <c r="A12" s="8" t="inlineStr">
        <is>
          <t>Break-even reconciliation</t>
        </is>
      </c>
      <c r="B12" s="8" t="inlineStr">
        <is>
          <t>Table gives ₹1,82,000 baseline; formula gives ~₹1,92,593/month</t>
        </is>
      </c>
      <c r="C12" s="8" t="inlineStr">
        <is>
          <t>Use one definition consistently; validate model</t>
        </is>
      </c>
    </row>
    <row r="13">
      <c r="A13" s="8" t="inlineStr">
        <is>
          <t>Revenue forecast status</t>
        </is>
      </c>
      <c r="B13" s="8" t="inlineStr">
        <is>
          <t>Projection, not actual performance</t>
        </is>
      </c>
      <c r="C13" s="8" t="inlineStr">
        <is>
          <t>All user counts, revenue, profit and LTV are forecast assumptions/estimates</t>
        </is>
      </c>
    </row>
    <row r="14">
      <c r="A14" s="8" t="inlineStr">
        <is>
          <t>AI prototype evidence</t>
        </is>
      </c>
      <c r="B14" s="8" t="inlineStr">
        <is>
          <t>Documented test cases in project notes</t>
        </is>
      </c>
      <c r="C14" s="8" t="inlineStr">
        <is>
          <t>Capture actual screenshots/video from running prototype before panel</t>
        </is>
      </c>
    </row>
    <row r="15">
      <c r="A15" s="8" t="inlineStr">
        <is>
          <t>Demo link status</t>
        </is>
      </c>
      <c r="B15" s="8" t="inlineStr">
        <is>
          <t>localhost only</t>
        </is>
      </c>
      <c r="C15" s="8" t="inlineStr">
        <is>
          <t>Not a public URL; run locally or deploy and provide a public link</t>
        </is>
      </c>
    </row>
  </sheetData>
  <mergeCells count="1">
    <mergeCell ref="A1:C1"/>
  </mergeCells>
  <pageMargins left="0.25" right="0.2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2026-10-02T18:36:01Z</dcterms:created>
  <dcterms:modified xmlns:dcterms="http://purl.org/dc/terms/" xmlns:xsi="http://www.w3.org/2001/XMLSchema-instance" xsi:type="dcterms:W3CDTF">2026-10-02T18:36:09Z</dcterms:modified>
</cp:coreProperties>
</file>